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CS UET\Semester 1\AICTL\"/>
    </mc:Choice>
  </mc:AlternateContent>
  <xr:revisionPtr revIDLastSave="0" documentId="13_ncr:1_{C7F7C1B2-080F-48A9-9B89-089698CB1F28}" xr6:coauthVersionLast="47" xr6:coauthVersionMax="47" xr10:uidLastSave="{00000000-0000-0000-0000-000000000000}"/>
  <bookViews>
    <workbookView xWindow="-110" yWindow="-110" windowWidth="19420" windowHeight="10300" activeTab="2" xr2:uid="{00000000-000D-0000-FFFF-FFFF00000000}"/>
  </bookViews>
  <sheets>
    <sheet name="Raw Data" sheetId="1" r:id="rId1"/>
    <sheet name="Calculations" sheetId="2" r:id="rId2"/>
    <sheet name="Summary Dashboard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" i="2" l="1"/>
  <c r="R24" i="2"/>
  <c r="K24" i="2"/>
  <c r="D24" i="2"/>
  <c r="R19" i="2"/>
  <c r="R17" i="2"/>
  <c r="R15" i="2"/>
  <c r="R13" i="2"/>
  <c r="R11" i="2"/>
  <c r="R9" i="2"/>
  <c r="R7" i="2"/>
  <c r="R5" i="2"/>
  <c r="D16" i="2"/>
  <c r="K19" i="2"/>
  <c r="K17" i="2"/>
  <c r="K15" i="2"/>
  <c r="K13" i="2"/>
  <c r="K11" i="2"/>
  <c r="K9" i="2"/>
  <c r="K7" i="2"/>
  <c r="K5" i="2"/>
  <c r="D13" i="2" a="1"/>
  <c r="D13" i="2" s="1"/>
  <c r="D10" i="2" a="1"/>
  <c r="D10" i="2" s="1"/>
  <c r="D7" i="2" a="1"/>
  <c r="D7" i="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<sst xmlns="http://schemas.openxmlformats.org/spreadsheetml/2006/main" count="154" uniqueCount="103">
  <si>
    <t>Category</t>
  </si>
  <si>
    <t>Device/Model</t>
  </si>
  <si>
    <t>Price (PKR)</t>
  </si>
  <si>
    <t>Condition</t>
  </si>
  <si>
    <t>Storage/Variant</t>
  </si>
  <si>
    <t>Mobile</t>
  </si>
  <si>
    <t>iPhone 14 Pro Max</t>
  </si>
  <si>
    <t>New</t>
  </si>
  <si>
    <t>256GB</t>
  </si>
  <si>
    <t>Samsung S23 Ultra</t>
  </si>
  <si>
    <t>Xiaomi Redmi Note 12</t>
  </si>
  <si>
    <t>Used</t>
  </si>
  <si>
    <t>128GB</t>
  </si>
  <si>
    <t>iPad</t>
  </si>
  <si>
    <t>iPad Pro 12.9 M2</t>
  </si>
  <si>
    <t>512GB</t>
  </si>
  <si>
    <t>iPad 9th Gen</t>
  </si>
  <si>
    <t>64GB</t>
  </si>
  <si>
    <t>Watch</t>
  </si>
  <si>
    <t>Apple Watch Series 8</t>
  </si>
  <si>
    <t>45mm</t>
  </si>
  <si>
    <t>Samsung Galaxy Watch 5</t>
  </si>
  <si>
    <t>44mm</t>
  </si>
  <si>
    <t>Console</t>
  </si>
  <si>
    <t>PlayStation 5 Standard</t>
  </si>
  <si>
    <t>825GB</t>
  </si>
  <si>
    <t>Nintendo Switch OLED</t>
  </si>
  <si>
    <t>Laptop</t>
  </si>
  <si>
    <t>MacBook Pro M1</t>
  </si>
  <si>
    <t>HP Pavilion Gaming</t>
  </si>
  <si>
    <t>Battery health</t>
  </si>
  <si>
    <t>Year of release</t>
  </si>
  <si>
    <t>Buy back value</t>
  </si>
  <si>
    <t>Condition Rating</t>
  </si>
  <si>
    <t>Sr no.</t>
  </si>
  <si>
    <t>iPhone 13</t>
  </si>
  <si>
    <t>128 GB</t>
  </si>
  <si>
    <t>iPhone 12</t>
  </si>
  <si>
    <t>iPhone 11</t>
  </si>
  <si>
    <t>Samsung Galaxy S23</t>
  </si>
  <si>
    <t>256 GB</t>
  </si>
  <si>
    <t>Samsung Galaxy S21</t>
  </si>
  <si>
    <t>Samsung Galaxy A52</t>
  </si>
  <si>
    <t>64 GB</t>
  </si>
  <si>
    <t>iPad Pro 11-inch</t>
  </si>
  <si>
    <t>Apple Watch Series 7</t>
  </si>
  <si>
    <t>45 mm</t>
  </si>
  <si>
    <t>Apple Watch SE</t>
  </si>
  <si>
    <t>44 mm</t>
  </si>
  <si>
    <t>PlayStation 5</t>
  </si>
  <si>
    <t>Xbox Series X</t>
  </si>
  <si>
    <t>1 TB</t>
  </si>
  <si>
    <t>2 TB</t>
  </si>
  <si>
    <t>Calculations</t>
  </si>
  <si>
    <t>1.</t>
  </si>
  <si>
    <t>Calculation of Averages</t>
  </si>
  <si>
    <t xml:space="preserve">Average price </t>
  </si>
  <si>
    <t>Average storage in Mobiles</t>
  </si>
  <si>
    <t>Average storage in ipads</t>
  </si>
  <si>
    <t>Average storage in Apple Watches</t>
  </si>
  <si>
    <t>Average Battery health</t>
  </si>
  <si>
    <t>2.</t>
  </si>
  <si>
    <t>Calculation of Maximum &amp; Minimum</t>
  </si>
  <si>
    <t>Maximum price</t>
  </si>
  <si>
    <t>Minimum price</t>
  </si>
  <si>
    <t>Maximum buyback</t>
  </si>
  <si>
    <t>Maximum Rating</t>
  </si>
  <si>
    <t>Minimum Rating</t>
  </si>
  <si>
    <t>Maximum health</t>
  </si>
  <si>
    <t>Minimum health</t>
  </si>
  <si>
    <t>3.</t>
  </si>
  <si>
    <t>Counting calculations</t>
  </si>
  <si>
    <t>No. of Mobiles</t>
  </si>
  <si>
    <t>No. of iPads</t>
  </si>
  <si>
    <t>No. of Watches</t>
  </si>
  <si>
    <t>No. of Laptops</t>
  </si>
  <si>
    <t>No. of  Consoles</t>
  </si>
  <si>
    <t>Total products</t>
  </si>
  <si>
    <t>Count of New</t>
  </si>
  <si>
    <t>Count of Used</t>
  </si>
  <si>
    <t>4.</t>
  </si>
  <si>
    <t>Total Price</t>
  </si>
  <si>
    <t>5.</t>
  </si>
  <si>
    <t>Calculation using Summation</t>
  </si>
  <si>
    <t>New &amp; used device ratio</t>
  </si>
  <si>
    <t>Calculation using IF statment</t>
  </si>
  <si>
    <t>6.</t>
  </si>
  <si>
    <t>Calculation of Median</t>
  </si>
  <si>
    <t>Middle value of condition rating</t>
  </si>
  <si>
    <t>Charts</t>
  </si>
  <si>
    <t>1)</t>
  </si>
  <si>
    <t>2)</t>
  </si>
  <si>
    <t xml:space="preserve"> </t>
  </si>
  <si>
    <t>Chart 2:</t>
  </si>
  <si>
    <t>Chart 1</t>
  </si>
  <si>
    <t>3)</t>
  </si>
  <si>
    <t>Chart 3</t>
  </si>
  <si>
    <t>4)</t>
  </si>
  <si>
    <t>Chart 4</t>
  </si>
  <si>
    <t>Year-wise frequency Chart</t>
  </si>
  <si>
    <t>Battery health frequency Chart</t>
  </si>
  <si>
    <t>Product Distribution frequency Chart</t>
  </si>
  <si>
    <t>New &amp; Used devices frequency Chart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</si>
</sst>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9" x14ac:knownFonts="1">
    <font>
      <sz val="11"/>
      <color theme="1"/>
      <name val="Trebuchet MS"/>
      <family val="2"/>
      <scheme val="minor"/>
    </font>
    <font>
      <b/>
      <sz val="11"/>
      <color theme="3" tint="-0.249977111117893"/>
      <name val="Times New Roman"/>
      <family val="1"/>
    </font>
    <font>
      <sz val="11"/>
      <color theme="1"/>
      <name val="Times New Roman"/>
      <family val="1"/>
    </font>
    <font>
      <b/>
      <sz val="14"/>
      <color theme="1"/>
      <name val="Times New Roman"/>
      <family val="1"/>
    </font>
    <font>
      <b/>
      <sz val="14"/>
      <color theme="3" tint="-0.249977111117893"/>
      <name val="Times New Roman"/>
      <family val="1"/>
    </font>
    <font>
      <b/>
      <sz val="11"/>
      <color theme="1"/>
      <name val="Times New Roman"/>
      <family val="1"/>
    </font>
    <font>
      <b/>
      <sz val="11"/>
      <name val="Times New Roman"/>
      <family val="1"/>
    </font>
    <font>
      <sz val="11"/>
      <name val="Times New Roman"/>
      <family val="1"/>
    </font>
    <font>
      <b/>
      <sz val="11"/>
      <color theme="4" tint="-0.249977111117893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EAEFFA"/>
        <bgColor indexed="64"/>
      </patternFill>
    </fill>
    <fill>
      <patternFill patternType="solid">
        <fgColor rgb="FFF0F3F6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0" fillId="0" borderId="0" xfId="0" applyAlignment="1">
      <alignment horizontal="center"/>
    </xf>
    <xf numFmtId="0" fontId="0" fillId="0" borderId="3" xfId="0" applyBorder="1"/>
    <xf numFmtId="0" fontId="2" fillId="0" borderId="1" xfId="0" applyFont="1" applyBorder="1" applyAlignment="1">
      <alignment horizontal="center"/>
    </xf>
    <xf numFmtId="0" fontId="2" fillId="2" borderId="1" xfId="0" applyFont="1" applyFill="1" applyBorder="1"/>
    <xf numFmtId="0" fontId="2" fillId="0" borderId="1" xfId="0" applyFont="1" applyBorder="1"/>
    <xf numFmtId="164" fontId="2" fillId="0" borderId="1" xfId="0" applyNumberFormat="1" applyFont="1" applyBorder="1" applyAlignment="1">
      <alignment horizontal="center"/>
    </xf>
    <xf numFmtId="164" fontId="0" fillId="0" borderId="0" xfId="0" applyNumberFormat="1"/>
    <xf numFmtId="0" fontId="2" fillId="0" borderId="0" xfId="0" applyFont="1" applyAlignment="1">
      <alignment horizontal="center"/>
    </xf>
    <xf numFmtId="0" fontId="2" fillId="5" borderId="1" xfId="0" applyFont="1" applyFill="1" applyBorder="1"/>
    <xf numFmtId="0" fontId="2" fillId="5" borderId="1" xfId="0" applyFont="1" applyFill="1" applyBorder="1" applyAlignment="1">
      <alignment horizontal="center"/>
    </xf>
    <xf numFmtId="164" fontId="2" fillId="5" borderId="1" xfId="0" applyNumberFormat="1" applyFont="1" applyFill="1" applyBorder="1" applyAlignment="1">
      <alignment horizontal="center"/>
    </xf>
    <xf numFmtId="0" fontId="1" fillId="3" borderId="1" xfId="0" applyFont="1" applyFill="1" applyBorder="1" applyAlignment="1">
      <alignment wrapText="1"/>
    </xf>
    <xf numFmtId="0" fontId="1" fillId="3" borderId="1" xfId="0" applyFont="1" applyFill="1" applyBorder="1" applyAlignment="1">
      <alignment vertical="center"/>
    </xf>
    <xf numFmtId="0" fontId="1" fillId="3" borderId="1" xfId="0" applyFont="1" applyFill="1" applyBorder="1" applyAlignment="1">
      <alignment horizontal="center" vertical="center"/>
    </xf>
    <xf numFmtId="164" fontId="1" fillId="3" borderId="1" xfId="0" applyNumberFormat="1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center"/>
    </xf>
    <xf numFmtId="0" fontId="2" fillId="0" borderId="0" xfId="0" applyFont="1"/>
    <xf numFmtId="49" fontId="2" fillId="0" borderId="0" xfId="0" applyNumberFormat="1" applyFont="1" applyAlignment="1">
      <alignment horizontal="right"/>
    </xf>
    <xf numFmtId="49" fontId="2" fillId="0" borderId="9" xfId="0" applyNumberFormat="1" applyFont="1" applyBorder="1" applyAlignment="1">
      <alignment horizontal="right"/>
    </xf>
    <xf numFmtId="0" fontId="2" fillId="0" borderId="0" xfId="0" applyFont="1" applyAlignment="1">
      <alignment horizontal="right"/>
    </xf>
    <xf numFmtId="0" fontId="2" fillId="0" borderId="0" xfId="0" applyFont="1" applyAlignment="1">
      <alignment wrapText="1"/>
    </xf>
    <xf numFmtId="0" fontId="2" fillId="0" borderId="2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5" fillId="4" borderId="3" xfId="0" applyFont="1" applyFill="1" applyBorder="1" applyAlignment="1">
      <alignment horizontal="center"/>
    </xf>
    <xf numFmtId="0" fontId="5" fillId="4" borderId="0" xfId="0" applyFont="1" applyFill="1" applyAlignment="1">
      <alignment horizontal="center"/>
    </xf>
    <xf numFmtId="0" fontId="2" fillId="4" borderId="0" xfId="0" applyFont="1" applyFill="1" applyAlignment="1">
      <alignment horizontal="center"/>
    </xf>
    <xf numFmtId="0" fontId="2" fillId="0" borderId="1" xfId="0" applyFont="1" applyBorder="1" applyAlignment="1">
      <alignment horizontal="center" wrapText="1"/>
    </xf>
    <xf numFmtId="0" fontId="2" fillId="0" borderId="8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4" fillId="3" borderId="10" xfId="0" applyFont="1" applyFill="1" applyBorder="1" applyAlignment="1">
      <alignment horizontal="center" vertical="center"/>
    </xf>
    <xf numFmtId="0" fontId="4" fillId="3" borderId="11" xfId="0" applyFont="1" applyFill="1" applyBorder="1" applyAlignment="1">
      <alignment horizontal="center" vertical="center"/>
    </xf>
    <xf numFmtId="0" fontId="4" fillId="3" borderId="12" xfId="0" applyFont="1" applyFill="1" applyBorder="1" applyAlignment="1">
      <alignment horizontal="center" vertical="center"/>
    </xf>
    <xf numFmtId="0" fontId="6" fillId="4" borderId="0" xfId="0" applyFont="1" applyFill="1" applyAlignment="1">
      <alignment horizontal="center"/>
    </xf>
    <xf numFmtId="0" fontId="7" fillId="4" borderId="0" xfId="0" applyFont="1" applyFill="1" applyAlignment="1">
      <alignment horizontal="center"/>
    </xf>
    <xf numFmtId="49" fontId="5" fillId="4" borderId="3" xfId="0" applyNumberFormat="1" applyFont="1" applyFill="1" applyBorder="1" applyAlignment="1">
      <alignment horizontal="center"/>
    </xf>
    <xf numFmtId="49" fontId="2" fillId="4" borderId="0" xfId="0" applyNumberFormat="1" applyFont="1" applyFill="1" applyAlignment="1">
      <alignment horizontal="center"/>
    </xf>
    <xf numFmtId="0" fontId="8" fillId="4" borderId="2" xfId="0" applyFont="1" applyFill="1" applyBorder="1" applyAlignment="1">
      <alignment horizontal="center"/>
    </xf>
    <xf numFmtId="0" fontId="8" fillId="4" borderId="13" xfId="0" applyFont="1" applyFill="1" applyBorder="1" applyAlignment="1">
      <alignment horizontal="center"/>
    </xf>
    <xf numFmtId="0" fontId="8" fillId="4" borderId="4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2" fillId="4" borderId="2" xfId="0" applyFont="1" applyFill="1" applyBorder="1" applyAlignment="1">
      <alignment horizontal="center"/>
    </xf>
    <xf numFmtId="0" fontId="2" fillId="4" borderId="4" xfId="0" applyFont="1" applyFill="1" applyBorder="1" applyAlignment="1">
      <alignment horizontal="center"/>
    </xf>
    <xf numFmtId="0" fontId="3" fillId="3" borderId="10" xfId="0" applyFont="1" applyFill="1" applyBorder="1" applyAlignment="1">
      <alignment horizontal="center" vertical="center"/>
    </xf>
    <xf numFmtId="0" fontId="3" fillId="3" borderId="11" xfId="0" applyFont="1" applyFill="1" applyBorder="1" applyAlignment="1">
      <alignment horizontal="center" vertical="center"/>
    </xf>
    <xf numFmtId="0" fontId="3" fillId="3" borderId="12" xfId="0" applyFont="1" applyFill="1" applyBorder="1" applyAlignment="1">
      <alignment horizontal="center" vertical="center"/>
    </xf>
    <xf numFmtId="0" fontId="2" fillId="4" borderId="13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99FFCC"/>
      <color rgb="FFEAEFFA"/>
      <color rgb="FFF0F3F6"/>
      <color rgb="FFD3DEF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rgbClr val="99FFCC"/>
                </a:solidFill>
                <a:latin typeface="Syne" pitchFamily="2" charset="0"/>
                <a:cs typeface="Times New Roman" panose="02020603050405020304" pitchFamily="18" charset="0"/>
              </a:rPr>
              <a:t>Count of Condition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Total</c:v>
          </c:tx>
          <c:spPr>
            <a:solidFill>
              <a:srgbClr val="99FFCC"/>
            </a:solidFill>
            <a:ln>
              <a:solidFill>
                <a:schemeClr val="accent3"/>
              </a:solidFill>
            </a:ln>
            <a:effectLst>
              <a:outerShdw blurRad="50800" dist="381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l"/>
            </a:scene3d>
            <a:sp3d prstMaterial="plastic">
              <a:bevelT w="0" h="0"/>
            </a:sp3d>
          </c:spPr>
          <c:invertIfNegative val="0"/>
          <c:cat>
            <c:strLit>
              <c:ptCount val="2"/>
              <c:pt idx="0">
                <c:v>New</c:v>
              </c:pt>
              <c:pt idx="1">
                <c:v>Used</c:v>
              </c:pt>
            </c:strLit>
          </c:cat>
          <c:val>
            <c:numLit>
              <c:formatCode>General</c:formatCode>
              <c:ptCount val="2"/>
              <c:pt idx="0">
                <c:v>16</c:v>
              </c:pt>
              <c:pt idx="1">
                <c:v>7</c:v>
              </c:pt>
            </c:numLit>
          </c:val>
          <c:extLst>
            <c:ext xmlns:c16="http://schemas.microsoft.com/office/drawing/2014/chart" uri="{C3380CC4-5D6E-409C-BE32-E72D297353CC}">
              <c16:uniqueId val="{00000000-C046-4AE0-A851-1CBBA371D9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422338303"/>
        <c:axId val="422353663"/>
      </c:barChart>
      <c:catAx>
        <c:axId val="4223383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2353663"/>
        <c:crosses val="autoZero"/>
        <c:auto val="1"/>
        <c:lblAlgn val="ctr"/>
        <c:lblOffset val="100"/>
        <c:noMultiLvlLbl val="0"/>
      </c:catAx>
      <c:valAx>
        <c:axId val="4223536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23383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tx1"/>
    </a:soli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rgbClr val="99FFCC"/>
                </a:solidFill>
                <a:latin typeface="Syne" pitchFamily="2" charset="0"/>
                <a:cs typeface="Times New Roman" panose="02020603050405020304" pitchFamily="18" charset="0"/>
              </a:rPr>
              <a:t>Count of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4">
                  <a:tint val="96000"/>
                  <a:lumMod val="100000"/>
                </a:schemeClr>
              </a:gs>
              <a:gs pos="78000">
                <a:schemeClr val="accent4">
                  <a:shade val="94000"/>
                  <a:lumMod val="94000"/>
                </a:schemeClr>
              </a:gs>
            </a:gsLst>
            <a:lin ang="54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pPr>
            <a:gradFill rotWithShape="1">
              <a:gsLst>
                <a:gs pos="0">
                  <a:schemeClr val="accent4">
                    <a:tint val="96000"/>
                    <a:lumMod val="100000"/>
                  </a:schemeClr>
                </a:gs>
                <a:gs pos="78000">
                  <a:schemeClr val="accent4">
                    <a:shade val="94000"/>
                    <a:lumMod val="94000"/>
                  </a:schemeClr>
                </a:gs>
              </a:gsLst>
              <a:lin ang="5400000" scaled="0"/>
            </a:gradFill>
            <a:ln w="9525">
              <a:solidFill>
                <a:schemeClr val="accent4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Total</c:v>
          </c:tx>
          <c:spPr>
            <a:solidFill>
              <a:srgbClr val="99FFCC"/>
            </a:solidFill>
            <a:ln>
              <a:noFill/>
            </a:ln>
            <a:effectLst>
              <a:outerShdw blurRad="50800" dist="381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l"/>
            </a:scene3d>
            <a:sp3d prstMaterial="plastic">
              <a:bevelT w="0" h="0"/>
            </a:sp3d>
          </c:spPr>
          <c:invertIfNegative val="0"/>
          <c:cat>
            <c:strLit>
              <c:ptCount val="5"/>
              <c:pt idx="0">
                <c:v>Console</c:v>
              </c:pt>
              <c:pt idx="1">
                <c:v>iPad</c:v>
              </c:pt>
              <c:pt idx="2">
                <c:v>Laptop</c:v>
              </c:pt>
              <c:pt idx="3">
                <c:v>Mobile</c:v>
              </c:pt>
              <c:pt idx="4">
                <c:v>Watch</c:v>
              </c:pt>
            </c:strLit>
          </c:cat>
          <c:val>
            <c:numLit>
              <c:formatCode>General</c:formatCode>
              <c:ptCount val="5"/>
              <c:pt idx="0">
                <c:v>4</c:v>
              </c:pt>
              <c:pt idx="1">
                <c:v>4</c:v>
              </c:pt>
              <c:pt idx="2">
                <c:v>2</c:v>
              </c:pt>
              <c:pt idx="3">
                <c:v>9</c:v>
              </c:pt>
              <c:pt idx="4">
                <c:v>4</c:v>
              </c:pt>
            </c:numLit>
          </c:val>
          <c:extLst>
            <c:ext xmlns:c16="http://schemas.microsoft.com/office/drawing/2014/chart" uri="{C3380CC4-5D6E-409C-BE32-E72D297353CC}">
              <c16:uniqueId val="{00000000-A41B-44FC-B21B-32966B8CC3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333783599"/>
        <c:axId val="333784079"/>
      </c:barChart>
      <c:catAx>
        <c:axId val="3337835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3784079"/>
        <c:crosses val="autoZero"/>
        <c:auto val="1"/>
        <c:lblAlgn val="ctr"/>
        <c:lblOffset val="100"/>
        <c:noMultiLvlLbl val="0"/>
      </c:catAx>
      <c:valAx>
        <c:axId val="3337840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378359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tx1"/>
    </a:soli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rgbClr val="99FFCC"/>
                </a:solidFill>
                <a:latin typeface="Syne" pitchFamily="2" charset="0"/>
                <a:cs typeface="Times New Roman" panose="02020603050405020304" pitchFamily="18" charset="0"/>
              </a:rPr>
              <a:t>Battery Health Frequency</a:t>
            </a:r>
            <a:r>
              <a:rPr lang="en-US" baseline="0">
                <a:solidFill>
                  <a:srgbClr val="99FFCC"/>
                </a:solidFill>
                <a:latin typeface="Syne" pitchFamily="2" charset="0"/>
                <a:cs typeface="Times New Roman" panose="02020603050405020304" pitchFamily="18" charset="0"/>
              </a:rPr>
              <a:t> Chart</a:t>
            </a:r>
            <a:endParaRPr lang="en-US">
              <a:solidFill>
                <a:srgbClr val="99FFCC"/>
              </a:solidFill>
              <a:latin typeface="Syne" pitchFamily="2" charset="0"/>
              <a:cs typeface="Times New Roman" panose="02020603050405020304" pitchFamily="18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99FFCC"/>
            </a:solidFill>
            <a:ln>
              <a:noFill/>
            </a:ln>
            <a:effectLst>
              <a:outerShdw blurRad="50800" dist="381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l"/>
            </a:scene3d>
            <a:sp3d prstMaterial="plastic">
              <a:bevelT w="0" h="0"/>
            </a:sp3d>
          </c:spPr>
          <c:invertIfNegative val="0"/>
          <c:val>
            <c:numRef>
              <c:f>'Raw Data'!$G$2:$G$24</c:f>
              <c:numCache>
                <c:formatCode>General</c:formatCode>
                <c:ptCount val="23"/>
                <c:pt idx="0">
                  <c:v>100</c:v>
                </c:pt>
                <c:pt idx="1">
                  <c:v>94</c:v>
                </c:pt>
                <c:pt idx="2">
                  <c:v>86</c:v>
                </c:pt>
                <c:pt idx="3">
                  <c:v>100</c:v>
                </c:pt>
                <c:pt idx="4">
                  <c:v>85</c:v>
                </c:pt>
                <c:pt idx="5">
                  <c:v>92</c:v>
                </c:pt>
                <c:pt idx="6">
                  <c:v>93</c:v>
                </c:pt>
                <c:pt idx="7">
                  <c:v>100</c:v>
                </c:pt>
                <c:pt idx="8">
                  <c:v>91</c:v>
                </c:pt>
                <c:pt idx="9">
                  <c:v>84</c:v>
                </c:pt>
                <c:pt idx="10">
                  <c:v>100</c:v>
                </c:pt>
                <c:pt idx="11">
                  <c:v>95</c:v>
                </c:pt>
                <c:pt idx="12">
                  <c:v>94</c:v>
                </c:pt>
                <c:pt idx="13">
                  <c:v>86</c:v>
                </c:pt>
                <c:pt idx="14">
                  <c:v>100</c:v>
                </c:pt>
                <c:pt idx="15">
                  <c:v>85</c:v>
                </c:pt>
                <c:pt idx="16">
                  <c:v>92</c:v>
                </c:pt>
                <c:pt idx="17">
                  <c:v>93</c:v>
                </c:pt>
                <c:pt idx="18">
                  <c:v>100</c:v>
                </c:pt>
                <c:pt idx="19">
                  <c:v>91</c:v>
                </c:pt>
                <c:pt idx="20">
                  <c:v>84</c:v>
                </c:pt>
                <c:pt idx="21">
                  <c:v>100</c:v>
                </c:pt>
                <c:pt idx="22">
                  <c:v>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C1C-480B-8B2A-7E68011A02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568262223"/>
        <c:axId val="568256463"/>
      </c:barChart>
      <c:catAx>
        <c:axId val="5682622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8256463"/>
        <c:crosses val="autoZero"/>
        <c:auto val="1"/>
        <c:lblAlgn val="ctr"/>
        <c:lblOffset val="100"/>
        <c:noMultiLvlLbl val="0"/>
      </c:catAx>
      <c:valAx>
        <c:axId val="568256463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82622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tx1"/>
    </a:soli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tx1"/>
                </a:solidFill>
                <a:latin typeface="Syne" pitchFamily="2" charset="0"/>
                <a:cs typeface="Times New Roman" panose="02020603050405020304" pitchFamily="18" charset="0"/>
              </a:rPr>
              <a:t>Year-Wise</a:t>
            </a:r>
            <a:r>
              <a:rPr lang="en-US" baseline="0">
                <a:solidFill>
                  <a:schemeClr val="tx1"/>
                </a:solidFill>
                <a:latin typeface="Syne" pitchFamily="2" charset="0"/>
                <a:cs typeface="Times New Roman" panose="02020603050405020304" pitchFamily="18" charset="0"/>
              </a:rPr>
              <a:t> </a:t>
            </a:r>
            <a:r>
              <a:rPr lang="en-US">
                <a:solidFill>
                  <a:schemeClr val="tx1"/>
                </a:solidFill>
                <a:latin typeface="Syne" pitchFamily="2" charset="0"/>
                <a:cs typeface="Times New Roman" panose="02020603050405020304" pitchFamily="18" charset="0"/>
              </a:rPr>
              <a:t>Frequency</a:t>
            </a:r>
            <a:r>
              <a:rPr lang="en-US" baseline="0">
                <a:solidFill>
                  <a:schemeClr val="tx1"/>
                </a:solidFill>
                <a:latin typeface="Syne" pitchFamily="2" charset="0"/>
                <a:cs typeface="Times New Roman" panose="02020603050405020304" pitchFamily="18" charset="0"/>
              </a:rPr>
              <a:t> Chart</a:t>
            </a:r>
            <a:endParaRPr lang="en-US">
              <a:solidFill>
                <a:schemeClr val="tx1"/>
              </a:solidFill>
              <a:latin typeface="Syne" pitchFamily="2" charset="0"/>
              <a:cs typeface="Times New Roman" panose="02020603050405020304" pitchFamily="18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34925" cap="rnd">
              <a:solidFill>
                <a:schemeClr val="tx1"/>
              </a:solidFill>
              <a:round/>
            </a:ln>
            <a:effectLst>
              <a:outerShdw blurRad="50800" dist="381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val>
            <c:numRef>
              <c:f>'Raw Data'!$H$2:$H$24</c:f>
              <c:numCache>
                <c:formatCode>General</c:formatCode>
                <c:ptCount val="23"/>
                <c:pt idx="0">
                  <c:v>2022</c:v>
                </c:pt>
                <c:pt idx="1">
                  <c:v>2023</c:v>
                </c:pt>
                <c:pt idx="2">
                  <c:v>2023</c:v>
                </c:pt>
                <c:pt idx="3">
                  <c:v>2022</c:v>
                </c:pt>
                <c:pt idx="4">
                  <c:v>2021</c:v>
                </c:pt>
                <c:pt idx="5">
                  <c:v>2022</c:v>
                </c:pt>
                <c:pt idx="6">
                  <c:v>2022</c:v>
                </c:pt>
                <c:pt idx="7">
                  <c:v>2020</c:v>
                </c:pt>
                <c:pt idx="8">
                  <c:v>2021</c:v>
                </c:pt>
                <c:pt idx="9">
                  <c:v>2020</c:v>
                </c:pt>
                <c:pt idx="10">
                  <c:v>2022</c:v>
                </c:pt>
                <c:pt idx="11">
                  <c:v>2021</c:v>
                </c:pt>
                <c:pt idx="12">
                  <c:v>2020</c:v>
                </c:pt>
                <c:pt idx="13">
                  <c:v>2019</c:v>
                </c:pt>
                <c:pt idx="14">
                  <c:v>2023</c:v>
                </c:pt>
                <c:pt idx="15">
                  <c:v>2021</c:v>
                </c:pt>
                <c:pt idx="16">
                  <c:v>2021</c:v>
                </c:pt>
                <c:pt idx="17">
                  <c:v>2021</c:v>
                </c:pt>
                <c:pt idx="18">
                  <c:v>2022</c:v>
                </c:pt>
                <c:pt idx="19">
                  <c:v>2021</c:v>
                </c:pt>
                <c:pt idx="20">
                  <c:v>2020</c:v>
                </c:pt>
                <c:pt idx="21">
                  <c:v>2020</c:v>
                </c:pt>
                <c:pt idx="22">
                  <c:v>2020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A5-4F1D-967A-9281B1826B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74351088"/>
        <c:axId val="2074351568"/>
      </c:lineChart>
      <c:catAx>
        <c:axId val="20743510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ln>
                  <a:solidFill>
                    <a:schemeClr val="tx1"/>
                  </a:solidFill>
                </a:ln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4351568"/>
        <c:crosses val="autoZero"/>
        <c:auto val="1"/>
        <c:lblAlgn val="ctr"/>
        <c:lblOffset val="100"/>
        <c:noMultiLvlLbl val="0"/>
      </c:catAx>
      <c:valAx>
        <c:axId val="20743515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ln w="9525">
                  <a:solidFill>
                    <a:schemeClr val="tx1">
                      <a:alpha val="98000"/>
                    </a:schemeClr>
                  </a:solidFill>
                </a:ln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43510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rgbClr val="99FFCC"/>
    </a:soli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2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0</xdr:colOff>
      <xdr:row>5</xdr:row>
      <xdr:rowOff>0</xdr:rowOff>
    </xdr:from>
    <xdr:to>
      <xdr:col>19</xdr:col>
      <xdr:colOff>353787</xdr:colOff>
      <xdr:row>19</xdr:row>
      <xdr:rowOff>127775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565B151-C864-42E6-916A-F8413DA484F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5</xdr:row>
      <xdr:rowOff>0</xdr:rowOff>
    </xdr:from>
    <xdr:to>
      <xdr:col>8</xdr:col>
      <xdr:colOff>343829</xdr:colOff>
      <xdr:row>19</xdr:row>
      <xdr:rowOff>141249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B1F5061D-8D8A-4C89-91A3-3796F2E5E3F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0</xdr:colOff>
      <xdr:row>29</xdr:row>
      <xdr:rowOff>23232</xdr:rowOff>
    </xdr:from>
    <xdr:to>
      <xdr:col>19</xdr:col>
      <xdr:colOff>343830</xdr:colOff>
      <xdr:row>43</xdr:row>
      <xdr:rowOff>164481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C94E0AB4-B300-44B9-B30E-92918BB21BA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0</xdr:colOff>
      <xdr:row>29</xdr:row>
      <xdr:rowOff>0</xdr:rowOff>
    </xdr:from>
    <xdr:to>
      <xdr:col>8</xdr:col>
      <xdr:colOff>321469</xdr:colOff>
      <xdr:row>43</xdr:row>
      <xdr:rowOff>76200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DCCE508-18BD-4A48-BBBF-3CC0B5E49C8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Facet">
  <a:themeElements>
    <a:clrScheme name="Blue Green">
      <a:dk1>
        <a:sysClr val="windowText" lastClr="000000"/>
      </a:dk1>
      <a:lt1>
        <a:sysClr val="window" lastClr="FFFFFF"/>
      </a:lt1>
      <a:dk2>
        <a:srgbClr val="373545"/>
      </a:dk2>
      <a:lt2>
        <a:srgbClr val="CEDBE6"/>
      </a:lt2>
      <a:accent1>
        <a:srgbClr val="3494BA"/>
      </a:accent1>
      <a:accent2>
        <a:srgbClr val="58B6C0"/>
      </a:accent2>
      <a:accent3>
        <a:srgbClr val="75BDA7"/>
      </a:accent3>
      <a:accent4>
        <a:srgbClr val="7A8C8E"/>
      </a:accent4>
      <a:accent5>
        <a:srgbClr val="84ACB6"/>
      </a:accent5>
      <a:accent6>
        <a:srgbClr val="2683C6"/>
      </a:accent6>
      <a:hlink>
        <a:srgbClr val="6B9F25"/>
      </a:hlink>
      <a:folHlink>
        <a:srgbClr val="9F6715"/>
      </a:folHlink>
    </a:clrScheme>
    <a:fontScheme name="Facet">
      <a:majorFont>
        <a:latin typeface="Trebuchet MS" panose="020B0603020202020204"/>
        <a:ea typeface=""/>
        <a:cs typeface=""/>
        <a:font script="Jpan" typeface="メイリオ"/>
        <a:font script="Hang" typeface="맑은 고딕"/>
        <a:font script="Hans" typeface="方正姚体"/>
        <a:font script="Hant" typeface="微軟正黑體"/>
        <a:font script="Arab" typeface="Tahoma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Trebuchet MS" panose="020B0603020202020204"/>
        <a:ea typeface=""/>
        <a:cs typeface=""/>
        <a:font script="Jpan" typeface="メイリオ"/>
        <a:font script="Hang" typeface="HY그래픽M"/>
        <a:font script="Hans" typeface="华文新魏"/>
        <a:font script="Hant" typeface="微軟正黑體"/>
        <a:font script="Arab" typeface="Tahoma"/>
        <a:font script="Hebr" typeface="Gisha"/>
        <a:font script="Thai" typeface="Iris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Facet">
      <a:fillStyleLst>
        <a:solidFill>
          <a:schemeClr val="phClr"/>
        </a:solidFill>
        <a:gradFill rotWithShape="1">
          <a:gsLst>
            <a:gs pos="0">
              <a:schemeClr val="phClr">
                <a:tint val="65000"/>
                <a:lumMod val="110000"/>
              </a:schemeClr>
            </a:gs>
            <a:gs pos="88000">
              <a:schemeClr val="phClr">
                <a:tint val="90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6000"/>
                <a:lumMod val="100000"/>
              </a:schemeClr>
            </a:gs>
            <a:gs pos="78000">
              <a:schemeClr val="phClr">
                <a:shade val="94000"/>
                <a:lumMod val="94000"/>
              </a:schemeClr>
            </a:gs>
          </a:gsLst>
          <a:lin ang="5400000" scaled="0"/>
        </a:gradFill>
      </a:fillStyleLst>
      <a:lnStyleLst>
        <a:ln w="12700" cap="rnd" cmpd="sng" algn="ctr">
          <a:solidFill>
            <a:schemeClr val="phClr"/>
          </a:solidFill>
          <a:prstDash val="solid"/>
        </a:ln>
        <a:ln w="190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38100" dist="254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50800" dist="381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l"/>
          </a:scene3d>
          <a:sp3d prstMaterial="plastic">
            <a:bevelT w="0" h="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  <a:lumMod val="104000"/>
              </a:schemeClr>
            </a:gs>
            <a:gs pos="94000">
              <a:schemeClr val="phClr">
                <a:shade val="96000"/>
                <a:lumMod val="82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0000"/>
                <a:lumMod val="110000"/>
              </a:schemeClr>
            </a:gs>
            <a:gs pos="100000">
              <a:schemeClr val="phClr">
                <a:shade val="94000"/>
                <a:lumMod val="96000"/>
              </a:schemeClr>
            </a:gs>
          </a:gsLst>
          <a:path path="circle">
            <a:fillToRect l="50000" t="50000" r="100000" b="100000"/>
          </a:path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Facet" id="{C0C680CD-088A-49FC-A102-D699147F32B2}" vid="{CFBC31BA-B70F-4F30-BCAA-4F3011E16C4D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4"/>
  <sheetViews>
    <sheetView zoomScale="78" zoomScaleNormal="90" workbookViewId="0">
      <selection activeCell="L5" sqref="L5"/>
    </sheetView>
  </sheetViews>
  <sheetFormatPr defaultRowHeight="14.5" x14ac:dyDescent="0.35"/>
  <cols>
    <col min="1" max="1" width="4.6640625" customWidth="1"/>
    <col min="2" max="2" width="15.6640625" customWidth="1"/>
    <col min="3" max="3" width="25.6640625" customWidth="1"/>
    <col min="4" max="4" width="13.6640625" style="7" customWidth="1"/>
    <col min="5" max="5" width="15.6640625" style="1" customWidth="1"/>
    <col min="6" max="8" width="16.6640625" customWidth="1"/>
    <col min="9" max="9" width="17.6640625" customWidth="1"/>
    <col min="10" max="10" width="18.6640625" customWidth="1"/>
  </cols>
  <sheetData>
    <row r="1" spans="1:11" ht="30" customHeight="1" x14ac:dyDescent="0.35">
      <c r="A1" s="12" t="s">
        <v>34</v>
      </c>
      <c r="B1" s="13" t="s">
        <v>0</v>
      </c>
      <c r="C1" s="14" t="s">
        <v>1</v>
      </c>
      <c r="D1" s="15" t="s">
        <v>2</v>
      </c>
      <c r="E1" s="14" t="s">
        <v>3</v>
      </c>
      <c r="F1" s="14" t="s">
        <v>4</v>
      </c>
      <c r="G1" s="14" t="s">
        <v>30</v>
      </c>
      <c r="H1" s="16" t="s">
        <v>31</v>
      </c>
      <c r="I1" s="14" t="s">
        <v>32</v>
      </c>
      <c r="J1" s="14" t="s">
        <v>33</v>
      </c>
      <c r="K1" s="2"/>
    </row>
    <row r="2" spans="1:11" x14ac:dyDescent="0.35">
      <c r="A2" s="3">
        <v>1</v>
      </c>
      <c r="B2" s="4" t="s">
        <v>5</v>
      </c>
      <c r="C2" s="3" t="s">
        <v>6</v>
      </c>
      <c r="D2" s="6">
        <v>310000</v>
      </c>
      <c r="E2" s="3" t="s">
        <v>7</v>
      </c>
      <c r="F2" s="3" t="s">
        <v>8</v>
      </c>
      <c r="G2" s="3">
        <v>100</v>
      </c>
      <c r="H2" s="3">
        <v>2022</v>
      </c>
      <c r="I2" s="3">
        <v>65</v>
      </c>
      <c r="J2" s="3">
        <v>10</v>
      </c>
    </row>
    <row r="3" spans="1:11" x14ac:dyDescent="0.35">
      <c r="A3" s="10">
        <v>2</v>
      </c>
      <c r="B3" s="9" t="s">
        <v>5</v>
      </c>
      <c r="C3" s="10" t="s">
        <v>9</v>
      </c>
      <c r="D3" s="11">
        <v>280000</v>
      </c>
      <c r="E3" s="10" t="s">
        <v>7</v>
      </c>
      <c r="F3" s="10" t="s">
        <v>8</v>
      </c>
      <c r="G3" s="10">
        <v>94</v>
      </c>
      <c r="H3" s="10">
        <v>2023</v>
      </c>
      <c r="I3" s="10">
        <v>55</v>
      </c>
      <c r="J3" s="10">
        <v>8</v>
      </c>
    </row>
    <row r="4" spans="1:11" x14ac:dyDescent="0.35">
      <c r="A4" s="3">
        <v>3</v>
      </c>
      <c r="B4" s="4" t="s">
        <v>5</v>
      </c>
      <c r="C4" s="3" t="s">
        <v>10</v>
      </c>
      <c r="D4" s="6">
        <v>55000</v>
      </c>
      <c r="E4" s="3" t="s">
        <v>11</v>
      </c>
      <c r="F4" s="3" t="s">
        <v>12</v>
      </c>
      <c r="G4" s="3">
        <v>86</v>
      </c>
      <c r="H4" s="3">
        <v>2023</v>
      </c>
      <c r="I4" s="3">
        <v>45</v>
      </c>
      <c r="J4" s="3">
        <v>6</v>
      </c>
    </row>
    <row r="5" spans="1:11" x14ac:dyDescent="0.35">
      <c r="A5" s="10">
        <v>4</v>
      </c>
      <c r="B5" s="9" t="s">
        <v>13</v>
      </c>
      <c r="C5" s="10" t="s">
        <v>14</v>
      </c>
      <c r="D5" s="11">
        <v>290000</v>
      </c>
      <c r="E5" s="10" t="s">
        <v>7</v>
      </c>
      <c r="F5" s="10" t="s">
        <v>15</v>
      </c>
      <c r="G5" s="10">
        <v>100</v>
      </c>
      <c r="H5" s="10">
        <v>2022</v>
      </c>
      <c r="I5" s="10">
        <v>65</v>
      </c>
      <c r="J5" s="10">
        <v>10</v>
      </c>
    </row>
    <row r="6" spans="1:11" x14ac:dyDescent="0.35">
      <c r="A6" s="3">
        <v>5</v>
      </c>
      <c r="B6" s="4" t="s">
        <v>13</v>
      </c>
      <c r="C6" s="3" t="s">
        <v>16</v>
      </c>
      <c r="D6" s="6">
        <v>95000</v>
      </c>
      <c r="E6" s="3" t="s">
        <v>11</v>
      </c>
      <c r="F6" s="3" t="s">
        <v>17</v>
      </c>
      <c r="G6" s="3">
        <v>85</v>
      </c>
      <c r="H6" s="3">
        <v>2021</v>
      </c>
      <c r="I6" s="3">
        <v>55</v>
      </c>
      <c r="J6" s="3">
        <v>8</v>
      </c>
    </row>
    <row r="7" spans="1:11" x14ac:dyDescent="0.35">
      <c r="A7" s="10">
        <v>6</v>
      </c>
      <c r="B7" s="9" t="s">
        <v>18</v>
      </c>
      <c r="C7" s="10" t="s">
        <v>19</v>
      </c>
      <c r="D7" s="11">
        <v>95000</v>
      </c>
      <c r="E7" s="10" t="s">
        <v>7</v>
      </c>
      <c r="F7" s="10" t="s">
        <v>20</v>
      </c>
      <c r="G7" s="10">
        <v>92</v>
      </c>
      <c r="H7" s="10">
        <v>2022</v>
      </c>
      <c r="I7" s="10">
        <v>55</v>
      </c>
      <c r="J7" s="10">
        <v>8</v>
      </c>
    </row>
    <row r="8" spans="1:11" x14ac:dyDescent="0.35">
      <c r="A8" s="3">
        <v>7</v>
      </c>
      <c r="B8" s="4" t="s">
        <v>18</v>
      </c>
      <c r="C8" s="3" t="s">
        <v>21</v>
      </c>
      <c r="D8" s="6">
        <v>54000</v>
      </c>
      <c r="E8" s="3" t="s">
        <v>11</v>
      </c>
      <c r="F8" s="3" t="s">
        <v>22</v>
      </c>
      <c r="G8" s="3">
        <v>93</v>
      </c>
      <c r="H8" s="3">
        <v>2022</v>
      </c>
      <c r="I8" s="3">
        <v>45</v>
      </c>
      <c r="J8" s="3">
        <v>6</v>
      </c>
    </row>
    <row r="9" spans="1:11" x14ac:dyDescent="0.35">
      <c r="A9" s="10">
        <v>8</v>
      </c>
      <c r="B9" s="9" t="s">
        <v>23</v>
      </c>
      <c r="C9" s="10" t="s">
        <v>24</v>
      </c>
      <c r="D9" s="11">
        <v>205000</v>
      </c>
      <c r="E9" s="10" t="s">
        <v>7</v>
      </c>
      <c r="F9" s="10" t="s">
        <v>25</v>
      </c>
      <c r="G9" s="10">
        <v>100</v>
      </c>
      <c r="H9" s="10">
        <v>2020</v>
      </c>
      <c r="I9" s="10">
        <v>60</v>
      </c>
      <c r="J9" s="10">
        <v>10</v>
      </c>
    </row>
    <row r="10" spans="1:11" x14ac:dyDescent="0.35">
      <c r="A10" s="3">
        <v>9</v>
      </c>
      <c r="B10" s="4" t="s">
        <v>23</v>
      </c>
      <c r="C10" s="3" t="s">
        <v>26</v>
      </c>
      <c r="D10" s="6">
        <v>130000</v>
      </c>
      <c r="E10" s="3" t="s">
        <v>7</v>
      </c>
      <c r="F10" s="3" t="s">
        <v>17</v>
      </c>
      <c r="G10" s="3">
        <v>91</v>
      </c>
      <c r="H10" s="3">
        <v>2021</v>
      </c>
      <c r="I10" s="3">
        <v>55</v>
      </c>
      <c r="J10" s="3">
        <v>8</v>
      </c>
    </row>
    <row r="11" spans="1:11" x14ac:dyDescent="0.35">
      <c r="A11" s="10">
        <v>10</v>
      </c>
      <c r="B11" s="9" t="s">
        <v>27</v>
      </c>
      <c r="C11" s="10" t="s">
        <v>28</v>
      </c>
      <c r="D11" s="11">
        <v>330000</v>
      </c>
      <c r="E11" s="10" t="s">
        <v>7</v>
      </c>
      <c r="F11" s="10" t="s">
        <v>15</v>
      </c>
      <c r="G11" s="10">
        <v>84</v>
      </c>
      <c r="H11" s="10">
        <v>2020</v>
      </c>
      <c r="I11" s="10">
        <v>55</v>
      </c>
      <c r="J11" s="10">
        <v>8</v>
      </c>
    </row>
    <row r="12" spans="1:11" x14ac:dyDescent="0.35">
      <c r="A12" s="3">
        <v>11</v>
      </c>
      <c r="B12" s="4" t="s">
        <v>27</v>
      </c>
      <c r="C12" s="3" t="s">
        <v>29</v>
      </c>
      <c r="D12" s="6">
        <v>185000</v>
      </c>
      <c r="E12" s="3" t="s">
        <v>11</v>
      </c>
      <c r="F12" s="3" t="s">
        <v>15</v>
      </c>
      <c r="G12" s="3">
        <v>100</v>
      </c>
      <c r="H12" s="3">
        <v>2022</v>
      </c>
      <c r="I12" s="3">
        <v>55</v>
      </c>
      <c r="J12" s="3">
        <v>9</v>
      </c>
    </row>
    <row r="13" spans="1:11" x14ac:dyDescent="0.35">
      <c r="A13" s="10">
        <v>12</v>
      </c>
      <c r="B13" s="9" t="s">
        <v>5</v>
      </c>
      <c r="C13" s="10" t="s">
        <v>35</v>
      </c>
      <c r="D13" s="11">
        <v>185000</v>
      </c>
      <c r="E13" s="10" t="s">
        <v>7</v>
      </c>
      <c r="F13" s="10" t="s">
        <v>36</v>
      </c>
      <c r="G13" s="10">
        <v>95</v>
      </c>
      <c r="H13" s="10">
        <v>2021</v>
      </c>
      <c r="I13" s="10">
        <v>65</v>
      </c>
      <c r="J13" s="10">
        <v>10</v>
      </c>
    </row>
    <row r="14" spans="1:11" x14ac:dyDescent="0.35">
      <c r="A14" s="3">
        <v>13</v>
      </c>
      <c r="B14" s="5" t="s">
        <v>5</v>
      </c>
      <c r="C14" s="3" t="s">
        <v>37</v>
      </c>
      <c r="D14" s="6">
        <v>145000</v>
      </c>
      <c r="E14" s="3" t="s">
        <v>7</v>
      </c>
      <c r="F14" s="3" t="s">
        <v>36</v>
      </c>
      <c r="G14" s="3">
        <v>94</v>
      </c>
      <c r="H14" s="3">
        <v>2020</v>
      </c>
      <c r="I14" s="3">
        <v>55</v>
      </c>
      <c r="J14" s="3">
        <v>8</v>
      </c>
    </row>
    <row r="15" spans="1:11" x14ac:dyDescent="0.35">
      <c r="A15" s="10">
        <v>14</v>
      </c>
      <c r="B15" s="9" t="s">
        <v>5</v>
      </c>
      <c r="C15" s="10" t="s">
        <v>38</v>
      </c>
      <c r="D15" s="11">
        <v>88000</v>
      </c>
      <c r="E15" s="10" t="s">
        <v>11</v>
      </c>
      <c r="F15" s="10" t="s">
        <v>36</v>
      </c>
      <c r="G15" s="10">
        <v>86</v>
      </c>
      <c r="H15" s="10">
        <v>2019</v>
      </c>
      <c r="I15" s="10">
        <v>45</v>
      </c>
      <c r="J15" s="10">
        <v>6</v>
      </c>
    </row>
    <row r="16" spans="1:11" x14ac:dyDescent="0.35">
      <c r="A16" s="3">
        <v>15</v>
      </c>
      <c r="B16" s="5" t="s">
        <v>5</v>
      </c>
      <c r="C16" s="3" t="s">
        <v>39</v>
      </c>
      <c r="D16" s="6">
        <v>210000</v>
      </c>
      <c r="E16" s="3" t="s">
        <v>7</v>
      </c>
      <c r="F16" s="3" t="s">
        <v>40</v>
      </c>
      <c r="G16" s="3">
        <v>100</v>
      </c>
      <c r="H16" s="3">
        <v>2023</v>
      </c>
      <c r="I16" s="3">
        <v>65</v>
      </c>
      <c r="J16" s="3">
        <v>10</v>
      </c>
    </row>
    <row r="17" spans="1:10" x14ac:dyDescent="0.35">
      <c r="A17" s="10">
        <v>16</v>
      </c>
      <c r="B17" s="9" t="s">
        <v>5</v>
      </c>
      <c r="C17" s="10" t="s">
        <v>41</v>
      </c>
      <c r="D17" s="11">
        <v>98000</v>
      </c>
      <c r="E17" s="10" t="s">
        <v>11</v>
      </c>
      <c r="F17" s="10" t="s">
        <v>36</v>
      </c>
      <c r="G17" s="10">
        <v>85</v>
      </c>
      <c r="H17" s="10">
        <v>2021</v>
      </c>
      <c r="I17" s="10">
        <v>45</v>
      </c>
      <c r="J17" s="10">
        <v>6</v>
      </c>
    </row>
    <row r="18" spans="1:10" x14ac:dyDescent="0.35">
      <c r="A18" s="3">
        <v>17</v>
      </c>
      <c r="B18" s="5" t="s">
        <v>5</v>
      </c>
      <c r="C18" s="3" t="s">
        <v>42</v>
      </c>
      <c r="D18" s="6">
        <v>52000</v>
      </c>
      <c r="E18" s="3" t="s">
        <v>7</v>
      </c>
      <c r="F18" s="3" t="s">
        <v>36</v>
      </c>
      <c r="G18" s="3">
        <v>92</v>
      </c>
      <c r="H18" s="3">
        <v>2021</v>
      </c>
      <c r="I18" s="3">
        <v>55</v>
      </c>
      <c r="J18" s="3">
        <v>8</v>
      </c>
    </row>
    <row r="19" spans="1:10" x14ac:dyDescent="0.35">
      <c r="A19" s="10">
        <v>18</v>
      </c>
      <c r="B19" s="9" t="s">
        <v>13</v>
      </c>
      <c r="C19" s="10" t="s">
        <v>16</v>
      </c>
      <c r="D19" s="11">
        <v>98000</v>
      </c>
      <c r="E19" s="10" t="s">
        <v>7</v>
      </c>
      <c r="F19" s="10" t="s">
        <v>43</v>
      </c>
      <c r="G19" s="10">
        <v>93</v>
      </c>
      <c r="H19" s="10">
        <v>2021</v>
      </c>
      <c r="I19" s="10">
        <v>55</v>
      </c>
      <c r="J19" s="10">
        <v>8</v>
      </c>
    </row>
    <row r="20" spans="1:10" x14ac:dyDescent="0.35">
      <c r="A20" s="3">
        <v>19</v>
      </c>
      <c r="B20" s="5" t="s">
        <v>13</v>
      </c>
      <c r="C20" s="3" t="s">
        <v>44</v>
      </c>
      <c r="D20" s="6">
        <v>215000</v>
      </c>
      <c r="E20" s="3" t="s">
        <v>7</v>
      </c>
      <c r="F20" s="3" t="s">
        <v>36</v>
      </c>
      <c r="G20" s="3">
        <v>100</v>
      </c>
      <c r="H20" s="3">
        <v>2022</v>
      </c>
      <c r="I20" s="3">
        <v>65</v>
      </c>
      <c r="J20" s="3">
        <v>10</v>
      </c>
    </row>
    <row r="21" spans="1:10" x14ac:dyDescent="0.35">
      <c r="A21" s="10">
        <v>20</v>
      </c>
      <c r="B21" s="9" t="s">
        <v>18</v>
      </c>
      <c r="C21" s="10" t="s">
        <v>45</v>
      </c>
      <c r="D21" s="11">
        <v>85000</v>
      </c>
      <c r="E21" s="10" t="s">
        <v>7</v>
      </c>
      <c r="F21" s="10" t="s">
        <v>46</v>
      </c>
      <c r="G21" s="10">
        <v>91</v>
      </c>
      <c r="H21" s="10">
        <v>2021</v>
      </c>
      <c r="I21" s="10">
        <v>55</v>
      </c>
      <c r="J21" s="10">
        <v>8</v>
      </c>
    </row>
    <row r="22" spans="1:10" x14ac:dyDescent="0.35">
      <c r="A22" s="3">
        <v>21</v>
      </c>
      <c r="B22" s="5" t="s">
        <v>18</v>
      </c>
      <c r="C22" s="3" t="s">
        <v>47</v>
      </c>
      <c r="D22" s="6">
        <v>62000</v>
      </c>
      <c r="E22" s="3" t="s">
        <v>11</v>
      </c>
      <c r="F22" s="3" t="s">
        <v>48</v>
      </c>
      <c r="G22" s="3">
        <v>84</v>
      </c>
      <c r="H22" s="3">
        <v>2020</v>
      </c>
      <c r="I22" s="3">
        <v>45</v>
      </c>
      <c r="J22" s="3">
        <v>6</v>
      </c>
    </row>
    <row r="23" spans="1:10" x14ac:dyDescent="0.35">
      <c r="A23" s="10">
        <v>22</v>
      </c>
      <c r="B23" s="9" t="s">
        <v>23</v>
      </c>
      <c r="C23" s="10" t="s">
        <v>49</v>
      </c>
      <c r="D23" s="11">
        <v>185000</v>
      </c>
      <c r="E23" s="10" t="s">
        <v>7</v>
      </c>
      <c r="F23" s="10" t="s">
        <v>52</v>
      </c>
      <c r="G23" s="10">
        <v>100</v>
      </c>
      <c r="H23" s="10">
        <v>2020</v>
      </c>
      <c r="I23" s="10">
        <v>60</v>
      </c>
      <c r="J23" s="10">
        <v>10</v>
      </c>
    </row>
    <row r="24" spans="1:10" x14ac:dyDescent="0.35">
      <c r="A24" s="3">
        <v>23</v>
      </c>
      <c r="B24" s="5" t="s">
        <v>23</v>
      </c>
      <c r="C24" s="3" t="s">
        <v>50</v>
      </c>
      <c r="D24" s="6">
        <v>175000</v>
      </c>
      <c r="E24" s="3" t="s">
        <v>7</v>
      </c>
      <c r="F24" s="3" t="s">
        <v>51</v>
      </c>
      <c r="G24" s="3">
        <v>95</v>
      </c>
      <c r="H24" s="3">
        <v>2020</v>
      </c>
      <c r="I24" s="3">
        <v>55</v>
      </c>
      <c r="J24" s="3">
        <v>8</v>
      </c>
    </row>
  </sheetData>
  <dataValidations count="1">
    <dataValidation type="list" allowBlank="1" sqref="D13:D200 E2:E12" xr:uid="{00000000-0002-0000-0000-000000000000}">
      <formula1>"New,Used,Refurbished"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25"/>
  <sheetViews>
    <sheetView zoomScale="77" zoomScaleNormal="77" workbookViewId="0">
      <selection activeCell="R5" sqref="R5:S5"/>
    </sheetView>
  </sheetViews>
  <sheetFormatPr defaultColWidth="9.1640625" defaultRowHeight="14" x14ac:dyDescent="0.3"/>
  <cols>
    <col min="1" max="16384" width="9.1640625" style="18"/>
  </cols>
  <sheetData>
    <row r="1" spans="1:20" ht="25" customHeight="1" thickBot="1" x14ac:dyDescent="0.35">
      <c r="A1" s="35" t="s">
        <v>53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  <c r="S1" s="37"/>
      <c r="T1" s="17"/>
    </row>
    <row r="3" spans="1:20" x14ac:dyDescent="0.3">
      <c r="A3" s="19" t="s">
        <v>54</v>
      </c>
      <c r="B3" s="25" t="s">
        <v>55</v>
      </c>
      <c r="C3" s="26"/>
      <c r="D3" s="26"/>
      <c r="E3" s="26"/>
      <c r="H3" s="20" t="s">
        <v>61</v>
      </c>
      <c r="I3" s="25" t="s">
        <v>62</v>
      </c>
      <c r="J3" s="27"/>
      <c r="K3" s="27"/>
      <c r="L3" s="27"/>
      <c r="O3" s="20" t="s">
        <v>70</v>
      </c>
      <c r="P3" s="38" t="s">
        <v>71</v>
      </c>
      <c r="Q3" s="39"/>
      <c r="R3" s="39"/>
      <c r="S3" s="39"/>
    </row>
    <row r="5" spans="1:20" x14ac:dyDescent="0.3">
      <c r="B5" s="23" t="s">
        <v>56</v>
      </c>
      <c r="C5" s="24"/>
      <c r="D5" s="23" t="str">
        <f>"PKR " &amp; ROUND(AVERAGE('Raw Data'!D2:D24),2)</f>
        <v>PKR 157695.65</v>
      </c>
      <c r="E5" s="24"/>
      <c r="I5" s="33" t="s">
        <v>63</v>
      </c>
      <c r="J5" s="33"/>
      <c r="K5" s="23" t="str">
        <f>"PKR "&amp; ROUND(MAX('Raw Data'!D2:D24), 2)</f>
        <v>PKR 330000</v>
      </c>
      <c r="L5" s="24"/>
      <c r="P5" s="33" t="s">
        <v>72</v>
      </c>
      <c r="Q5" s="33"/>
      <c r="R5" s="33">
        <f>COUNTIF('Raw Data'!B2:B24, "Mobile")</f>
        <v>9</v>
      </c>
      <c r="S5" s="33"/>
    </row>
    <row r="7" spans="1:20" x14ac:dyDescent="0.3">
      <c r="B7" s="28" t="s">
        <v>57</v>
      </c>
      <c r="C7" s="28"/>
      <c r="D7" s="34" t="str" cm="1">
        <f t="array" ref="D7">ROUND(AVERAGE(IF(RIGHT('Raw Data'!F2:F24,2)="GB", VALUE(LEFT('Raw Data'!F2:F24,LEN('Raw Data'!F2:F24)-2)))),2) &amp; " GB"</f>
        <v>248.06 GB</v>
      </c>
      <c r="E7" s="34"/>
      <c r="I7" s="33" t="s">
        <v>64</v>
      </c>
      <c r="J7" s="33"/>
      <c r="K7" s="33" t="str">
        <f>"PKR " &amp; ROUND(MIN('Raw Data'!D2:D24), 2)</f>
        <v>PKR 52000</v>
      </c>
      <c r="L7" s="33"/>
      <c r="P7" s="33" t="s">
        <v>73</v>
      </c>
      <c r="Q7" s="33"/>
      <c r="R7" s="33">
        <f>COUNTIF('Raw Data'!B2:B24, "iPad")</f>
        <v>4</v>
      </c>
      <c r="S7" s="33"/>
    </row>
    <row r="8" spans="1:20" x14ac:dyDescent="0.3">
      <c r="B8" s="28"/>
      <c r="C8" s="28"/>
      <c r="D8" s="34"/>
      <c r="E8" s="34"/>
    </row>
    <row r="9" spans="1:20" x14ac:dyDescent="0.3">
      <c r="I9" s="33" t="s">
        <v>65</v>
      </c>
      <c r="J9" s="33"/>
      <c r="K9" s="33">
        <f>ROUND(MAX('Raw Data'!I2:I24), 2)</f>
        <v>65</v>
      </c>
      <c r="L9" s="33"/>
      <c r="P9" s="33" t="s">
        <v>74</v>
      </c>
      <c r="Q9" s="33"/>
      <c r="R9" s="33">
        <f>COUNTIF('Raw Data'!B2:B24, "Watch")</f>
        <v>4</v>
      </c>
      <c r="S9" s="33"/>
    </row>
    <row r="10" spans="1:20" x14ac:dyDescent="0.3">
      <c r="B10" s="28" t="s">
        <v>58</v>
      </c>
      <c r="C10" s="28"/>
      <c r="D10" s="34" t="str" cm="1">
        <f t="array" ref="D10">ROUND(AVERAGE(IF(RIGHT('Raw Data'!F2:F24,2)="TB", VALUE(LEFT('Raw Data'!F2:F24,LEN('Raw Data'!F2:F24)-2)))),2) &amp;  " TB"</f>
        <v>1.5 TB</v>
      </c>
      <c r="E10" s="34"/>
    </row>
    <row r="11" spans="1:20" x14ac:dyDescent="0.3">
      <c r="B11" s="28"/>
      <c r="C11" s="28"/>
      <c r="D11" s="34"/>
      <c r="E11" s="34"/>
      <c r="I11" s="33" t="s">
        <v>65</v>
      </c>
      <c r="J11" s="33"/>
      <c r="K11" s="33">
        <f>ROUND(MIN('Raw Data'!I2:I24), 2)</f>
        <v>45</v>
      </c>
      <c r="L11" s="33"/>
      <c r="P11" s="33" t="s">
        <v>75</v>
      </c>
      <c r="Q11" s="33"/>
      <c r="R11" s="33">
        <f>COUNTIF('Raw Data'!B2:B24, "Laptop")</f>
        <v>2</v>
      </c>
      <c r="S11" s="33"/>
    </row>
    <row r="13" spans="1:20" x14ac:dyDescent="0.3">
      <c r="B13" s="28" t="s">
        <v>59</v>
      </c>
      <c r="C13" s="28"/>
      <c r="D13" s="29" t="str" cm="1">
        <f t="array" ref="D13">ROUND(AVERAGE(IF(RIGHT('Raw Data'!F2:F24,2)="mm", VALUE(LEFT('Raw Data'!F2:F24,LEN('Raw Data'!F2:F24)-2)))),2) &amp;  " mm"</f>
        <v>44.5 mm</v>
      </c>
      <c r="E13" s="30"/>
      <c r="I13" s="33" t="s">
        <v>66</v>
      </c>
      <c r="J13" s="33"/>
      <c r="K13" s="33" t="str">
        <f>ROUND(MAX('Raw Data'!J2:J24), 2)&amp; "/10"</f>
        <v>10/10</v>
      </c>
      <c r="L13" s="33"/>
      <c r="P13" s="33" t="s">
        <v>76</v>
      </c>
      <c r="Q13" s="33"/>
      <c r="R13" s="33">
        <f>COUNTIF('Raw Data'!B2:B24, "Console")</f>
        <v>4</v>
      </c>
      <c r="S13" s="33"/>
    </row>
    <row r="14" spans="1:20" x14ac:dyDescent="0.3">
      <c r="B14" s="28"/>
      <c r="C14" s="28"/>
      <c r="D14" s="31"/>
      <c r="E14" s="32"/>
    </row>
    <row r="15" spans="1:20" x14ac:dyDescent="0.3">
      <c r="I15" s="33" t="s">
        <v>67</v>
      </c>
      <c r="J15" s="33"/>
      <c r="K15" s="23" t="str">
        <f>ROUND(MIN('Raw Data'!J2:J24), 2) &amp; "/10"</f>
        <v>6/10</v>
      </c>
      <c r="L15" s="24"/>
      <c r="P15" s="33" t="s">
        <v>77</v>
      </c>
      <c r="Q15" s="33"/>
      <c r="R15" s="33">
        <f>COUNTA('Raw Data'!B2:B24)</f>
        <v>23</v>
      </c>
      <c r="S15" s="33"/>
    </row>
    <row r="16" spans="1:20" x14ac:dyDescent="0.3">
      <c r="B16" s="28" t="s">
        <v>60</v>
      </c>
      <c r="C16" s="28"/>
      <c r="D16" s="34" t="str">
        <f>ROUND(AVERAGE('Raw Data'!I2:'Raw Data'!I24),2) &amp; " %"</f>
        <v>55.43 %</v>
      </c>
      <c r="E16" s="34"/>
    </row>
    <row r="17" spans="1:19" x14ac:dyDescent="0.3">
      <c r="B17" s="28"/>
      <c r="C17" s="28"/>
      <c r="D17" s="34"/>
      <c r="E17" s="34"/>
      <c r="I17" s="33" t="s">
        <v>68</v>
      </c>
      <c r="J17" s="33"/>
      <c r="K17" s="33" t="str">
        <f>ROUND(MAX('Raw Data'!G2:G24), 2)&amp; "%"</f>
        <v>100%</v>
      </c>
      <c r="L17" s="33"/>
      <c r="P17" s="33" t="s">
        <v>78</v>
      </c>
      <c r="Q17" s="33"/>
      <c r="R17" s="33">
        <f>COUNTIF('Raw Data'!E2:E24, "New")</f>
        <v>16</v>
      </c>
      <c r="S17" s="33"/>
    </row>
    <row r="19" spans="1:19" x14ac:dyDescent="0.3">
      <c r="I19" s="33" t="s">
        <v>69</v>
      </c>
      <c r="J19" s="33"/>
      <c r="K19" s="33" t="str">
        <f>ROUND(MIN('Raw Data'!G2:G24), 2) &amp;"%"</f>
        <v>84%</v>
      </c>
      <c r="L19" s="33"/>
      <c r="P19" s="33" t="s">
        <v>79</v>
      </c>
      <c r="Q19" s="33"/>
      <c r="R19" s="33">
        <f>COUNTIF('Raw Data'!E2:E24, "Used")</f>
        <v>7</v>
      </c>
      <c r="S19" s="33"/>
    </row>
    <row r="22" spans="1:19" x14ac:dyDescent="0.3">
      <c r="A22" s="20" t="s">
        <v>80</v>
      </c>
      <c r="B22" s="40" t="s">
        <v>83</v>
      </c>
      <c r="C22" s="41"/>
      <c r="D22" s="41"/>
      <c r="E22" s="41"/>
      <c r="H22" s="20" t="s">
        <v>82</v>
      </c>
      <c r="I22" s="25" t="s">
        <v>85</v>
      </c>
      <c r="J22" s="27"/>
      <c r="K22" s="27"/>
      <c r="L22" s="27"/>
      <c r="O22" s="20" t="s">
        <v>86</v>
      </c>
      <c r="P22" s="25" t="s">
        <v>87</v>
      </c>
      <c r="Q22" s="26"/>
      <c r="R22" s="26"/>
      <c r="S22" s="26"/>
    </row>
    <row r="24" spans="1:19" ht="15" customHeight="1" x14ac:dyDescent="0.3">
      <c r="B24" s="33" t="s">
        <v>81</v>
      </c>
      <c r="C24" s="33"/>
      <c r="D24" s="33" t="str">
        <f>SUM('Raw Data'!D2:D24)&amp; " PKR"</f>
        <v>3627000 PKR</v>
      </c>
      <c r="E24" s="33"/>
      <c r="I24" s="28" t="s">
        <v>84</v>
      </c>
      <c r="J24" s="28"/>
      <c r="K24" s="34" t="str">
        <f>IF(MAX('Raw Data'!H2:H23)&lt;=2021,"All Used", IF(MIN('Raw Data'!H2:H23)&gt;=2022,"All New","Mixed Used and New"))</f>
        <v>Mixed Used and New</v>
      </c>
      <c r="L24" s="34"/>
      <c r="P24" s="28" t="s">
        <v>88</v>
      </c>
      <c r="Q24" s="28"/>
      <c r="R24" s="34">
        <f>MEDIAN('Raw Data'!J2:J23)</f>
        <v>8</v>
      </c>
      <c r="S24" s="34"/>
    </row>
    <row r="25" spans="1:19" x14ac:dyDescent="0.3">
      <c r="I25" s="28"/>
      <c r="J25" s="28"/>
      <c r="K25" s="34"/>
      <c r="L25" s="34"/>
      <c r="P25" s="28"/>
      <c r="Q25" s="28"/>
      <c r="R25" s="34"/>
      <c r="S25" s="34"/>
    </row>
  </sheetData>
  <mergeCells count="55">
    <mergeCell ref="P19:Q19"/>
    <mergeCell ref="R19:S19"/>
    <mergeCell ref="B22:E22"/>
    <mergeCell ref="B24:C24"/>
    <mergeCell ref="D24:E24"/>
    <mergeCell ref="I22:L22"/>
    <mergeCell ref="I24:J25"/>
    <mergeCell ref="K24:L25"/>
    <mergeCell ref="P22:S22"/>
    <mergeCell ref="P24:Q25"/>
    <mergeCell ref="R24:S25"/>
    <mergeCell ref="P13:Q13"/>
    <mergeCell ref="R13:S13"/>
    <mergeCell ref="P15:Q15"/>
    <mergeCell ref="R15:S15"/>
    <mergeCell ref="P17:Q17"/>
    <mergeCell ref="R17:S17"/>
    <mergeCell ref="R7:S7"/>
    <mergeCell ref="P9:Q9"/>
    <mergeCell ref="R9:S9"/>
    <mergeCell ref="P11:Q11"/>
    <mergeCell ref="R11:S11"/>
    <mergeCell ref="K17:L17"/>
    <mergeCell ref="I19:J19"/>
    <mergeCell ref="K19:L19"/>
    <mergeCell ref="A1:S1"/>
    <mergeCell ref="P3:S3"/>
    <mergeCell ref="P5:Q5"/>
    <mergeCell ref="R5:S5"/>
    <mergeCell ref="I11:J11"/>
    <mergeCell ref="K11:L11"/>
    <mergeCell ref="I13:J13"/>
    <mergeCell ref="K13:L13"/>
    <mergeCell ref="I15:J15"/>
    <mergeCell ref="K15:L15"/>
    <mergeCell ref="I5:J5"/>
    <mergeCell ref="K5:L5"/>
    <mergeCell ref="P7:Q7"/>
    <mergeCell ref="B16:C17"/>
    <mergeCell ref="D16:E17"/>
    <mergeCell ref="B7:C8"/>
    <mergeCell ref="D7:E8"/>
    <mergeCell ref="I7:J7"/>
    <mergeCell ref="I9:J9"/>
    <mergeCell ref="B10:C11"/>
    <mergeCell ref="D10:E11"/>
    <mergeCell ref="I17:J17"/>
    <mergeCell ref="D5:E5"/>
    <mergeCell ref="B5:C5"/>
    <mergeCell ref="B3:E3"/>
    <mergeCell ref="I3:L3"/>
    <mergeCell ref="B13:C14"/>
    <mergeCell ref="D13:E14"/>
    <mergeCell ref="K7:L7"/>
    <mergeCell ref="K9:L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52"/>
  <sheetViews>
    <sheetView tabSelected="1" topLeftCell="A25" zoomScale="72" zoomScaleNormal="80" workbookViewId="0">
      <selection activeCell="M48" sqref="M48"/>
    </sheetView>
  </sheetViews>
  <sheetFormatPr defaultColWidth="9.1640625" defaultRowHeight="14" x14ac:dyDescent="0.3"/>
  <cols>
    <col min="1" max="16384" width="9.1640625" style="18"/>
  </cols>
  <sheetData>
    <row r="1" spans="1:20" ht="21" customHeight="1" thickBot="1" x14ac:dyDescent="0.35">
      <c r="A1" s="48" t="s">
        <v>89</v>
      </c>
      <c r="B1" s="49"/>
      <c r="C1" s="49"/>
      <c r="D1" s="49"/>
      <c r="E1" s="49"/>
      <c r="F1" s="49"/>
      <c r="G1" s="49"/>
      <c r="H1" s="49"/>
      <c r="I1" s="49"/>
      <c r="J1" s="49"/>
      <c r="K1" s="49"/>
      <c r="L1" s="49"/>
      <c r="M1" s="49"/>
      <c r="N1" s="49"/>
      <c r="O1" s="49"/>
      <c r="P1" s="49"/>
      <c r="Q1" s="49"/>
      <c r="R1" s="49"/>
      <c r="S1" s="49"/>
      <c r="T1" s="50"/>
    </row>
    <row r="3" spans="1:20" x14ac:dyDescent="0.3">
      <c r="A3" s="21" t="s">
        <v>90</v>
      </c>
      <c r="B3" s="46" t="s">
        <v>94</v>
      </c>
      <c r="C3" s="47"/>
      <c r="L3" s="21" t="s">
        <v>91</v>
      </c>
      <c r="M3" s="46" t="s">
        <v>93</v>
      </c>
      <c r="N3" s="47"/>
    </row>
    <row r="5" spans="1:20" x14ac:dyDescent="0.3">
      <c r="B5" s="42" t="s">
        <v>101</v>
      </c>
      <c r="C5" s="43"/>
      <c r="D5" s="43"/>
      <c r="E5" s="43"/>
      <c r="F5" s="44"/>
      <c r="M5" s="42" t="s">
        <v>102</v>
      </c>
      <c r="N5" s="43"/>
      <c r="O5" s="43"/>
      <c r="P5" s="43"/>
      <c r="Q5" s="44"/>
    </row>
    <row r="6" spans="1:20" ht="15" customHeight="1" x14ac:dyDescent="0.3"/>
    <row r="7" spans="1:20" ht="15" customHeight="1" x14ac:dyDescent="0.3">
      <c r="B7" s="22"/>
      <c r="C7" s="22"/>
      <c r="D7" s="17"/>
      <c r="E7" s="17"/>
    </row>
    <row r="8" spans="1:20" x14ac:dyDescent="0.3">
      <c r="B8" s="22"/>
      <c r="C8" s="22"/>
      <c r="D8" s="17"/>
      <c r="E8" s="17"/>
    </row>
    <row r="9" spans="1:20" x14ac:dyDescent="0.3">
      <c r="B9" s="22"/>
      <c r="C9" s="22"/>
      <c r="D9" s="17"/>
      <c r="E9" s="17"/>
      <c r="I9" s="18" t="s">
        <v>92</v>
      </c>
    </row>
    <row r="22" spans="1:16" x14ac:dyDescent="0.3">
      <c r="J22" s="18" t="s">
        <v>92</v>
      </c>
    </row>
    <row r="27" spans="1:16" x14ac:dyDescent="0.3">
      <c r="A27" s="21" t="s">
        <v>95</v>
      </c>
      <c r="B27" s="46" t="s">
        <v>96</v>
      </c>
      <c r="C27" s="47"/>
      <c r="L27" s="21" t="s">
        <v>97</v>
      </c>
      <c r="M27" s="45" t="s">
        <v>98</v>
      </c>
      <c r="N27" s="45"/>
    </row>
    <row r="29" spans="1:16" x14ac:dyDescent="0.3">
      <c r="B29" s="42" t="s">
        <v>99</v>
      </c>
      <c r="C29" s="51"/>
      <c r="D29" s="51"/>
      <c r="E29" s="47"/>
      <c r="M29" s="42" t="s">
        <v>100</v>
      </c>
      <c r="N29" s="51"/>
      <c r="O29" s="51"/>
      <c r="P29" s="47"/>
    </row>
    <row r="30" spans="1:16" x14ac:dyDescent="0.3">
      <c r="J30" s="8"/>
    </row>
    <row r="31" spans="1:16" x14ac:dyDescent="0.3">
      <c r="J31" s="8"/>
    </row>
    <row r="32" spans="1:16" x14ac:dyDescent="0.3">
      <c r="J32" s="8"/>
    </row>
    <row r="33" spans="10:16" x14ac:dyDescent="0.3">
      <c r="J33" s="8"/>
    </row>
    <row r="34" spans="10:16" x14ac:dyDescent="0.3">
      <c r="J34" s="8"/>
      <c r="P34" s="8"/>
    </row>
    <row r="35" spans="10:16" x14ac:dyDescent="0.3">
      <c r="J35" s="8"/>
      <c r="P35" s="8"/>
    </row>
    <row r="36" spans="10:16" x14ac:dyDescent="0.3">
      <c r="J36" s="8"/>
      <c r="P36" s="8"/>
    </row>
    <row r="37" spans="10:16" x14ac:dyDescent="0.3">
      <c r="J37" s="8"/>
      <c r="P37" s="8"/>
    </row>
    <row r="38" spans="10:16" x14ac:dyDescent="0.3">
      <c r="J38" s="8"/>
      <c r="P38" s="8"/>
    </row>
    <row r="39" spans="10:16" x14ac:dyDescent="0.3">
      <c r="J39" s="8"/>
      <c r="P39" s="8"/>
    </row>
    <row r="40" spans="10:16" x14ac:dyDescent="0.3">
      <c r="J40" s="8"/>
      <c r="P40" s="8"/>
    </row>
    <row r="41" spans="10:16" x14ac:dyDescent="0.3">
      <c r="J41" s="8"/>
      <c r="P41" s="8"/>
    </row>
    <row r="42" spans="10:16" x14ac:dyDescent="0.3">
      <c r="J42" s="8"/>
      <c r="P42" s="8"/>
    </row>
    <row r="43" spans="10:16" x14ac:dyDescent="0.3">
      <c r="J43" s="8"/>
      <c r="P43" s="8"/>
    </row>
    <row r="44" spans="10:16" x14ac:dyDescent="0.3">
      <c r="J44" s="8"/>
      <c r="P44" s="8"/>
    </row>
    <row r="45" spans="10:16" x14ac:dyDescent="0.3">
      <c r="J45" s="8"/>
      <c r="P45" s="8"/>
    </row>
    <row r="46" spans="10:16" x14ac:dyDescent="0.3">
      <c r="J46" s="8"/>
      <c r="P46" s="8"/>
    </row>
    <row r="47" spans="10:16" x14ac:dyDescent="0.3">
      <c r="J47" s="8"/>
      <c r="P47" s="8"/>
    </row>
    <row r="48" spans="10:16" x14ac:dyDescent="0.3">
      <c r="J48" s="8"/>
      <c r="P48" s="8"/>
    </row>
    <row r="49" spans="10:16" x14ac:dyDescent="0.3">
      <c r="J49" s="8"/>
      <c r="P49" s="8"/>
    </row>
    <row r="50" spans="10:16" x14ac:dyDescent="0.3">
      <c r="J50" s="8"/>
    </row>
    <row r="51" spans="10:16" x14ac:dyDescent="0.3">
      <c r="J51" s="8"/>
    </row>
    <row r="52" spans="10:16" x14ac:dyDescent="0.3">
      <c r="J52" s="8"/>
    </row>
  </sheetData>
  <mergeCells count="9">
    <mergeCell ref="M5:Q5"/>
    <mergeCell ref="M27:N27"/>
    <mergeCell ref="B27:C27"/>
    <mergeCell ref="A1:T1"/>
    <mergeCell ref="B29:E29"/>
    <mergeCell ref="M29:P29"/>
    <mergeCell ref="M3:N3"/>
    <mergeCell ref="B3:C3"/>
    <mergeCell ref="B5:F5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 Data</vt:lpstr>
      <vt:lpstr>Calculations</vt:lpstr>
      <vt:lpstr>Summary 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Muaaz Manzoor</cp:lastModifiedBy>
  <dcterms:created xsi:type="dcterms:W3CDTF">2026-01-01T06:35:18Z</dcterms:created>
  <dcterms:modified xsi:type="dcterms:W3CDTF">2026-01-06T21:19:34Z</dcterms:modified>
</cp:coreProperties>
</file>